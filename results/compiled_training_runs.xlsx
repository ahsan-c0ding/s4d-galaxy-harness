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Production - Master Table" sheetId="3" state="visible" r:id="rId5"/>
    <sheet name="Production - Recipe Crossing" sheetId="4" state="visible" r:id="rId6"/>
    <sheet name="Production - Metric Recovery" sheetId="5" state="visible" r:id="rId7"/>
    <sheet name="Production - Repeat Seed" sheetId="6" state="visible" r:id="rId8"/>
    <sheet name="Richer-Stem - CNN-S4D-Hybrid" sheetId="7" state="visible" r:id="rId9"/>
    <sheet name="Richer-Stem - Scale Sweep" sheetId="8" state="visible" r:id="rId10"/>
    <sheet name="Richer-Stem - Grid" sheetId="9" state="visible" r:id="rId11"/>
    <sheet name="Noise Robustness (raw)" sheetId="10" state="visible" r:id="rId12"/>
    <sheet name="GroupNorm Folding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<sst xmlns="http://schemas.openxmlformats.org/spreadsheetml/2006/main" count="325" uniqueCount="166">
  <si>
    <t xml:space="preserve">S4D Galaxy Classifier -- Compiled Training Runs</t>
  </si>
  <si>
    <t xml:space="preserve">Compiled from the 15 training notebooks in notebooks/ (Team 0x43), cross-checked</t>
  </si>
  <si>
    <t xml:space="preserve">against report.tex. Every sheet has a Source column naming which notebook produced</t>
  </si>
  <si>
    <t xml:space="preserve">that row; a handful of cells that trace to the LaTeX report rather than an independently</t>
  </si>
  <si>
    <t xml:space="preserve">re-located notebook cell are labeled 'LaTeX report' rather than implied to be notebook-verified.</t>
  </si>
  <si>
    <t xml:space="preserve">Sheets:</t>
  </si>
  <si>
    <t xml:space="preserve">  1. Production - Master Table    Full ablation series for the ConvPatchStem/S4DConv architecture</t>
  </si>
  <si>
    <t xml:space="preserve">  2. Production - Recipe Crossing  Same architectures retrained under the other family's recipe</t>
  </si>
  <si>
    <t xml:space="preserve">  3. Production - Metric Recovery  Reruns to recover missing precision/recall/AUC for 2 headline rows</t>
  </si>
  <si>
    <t xml:space="preserve">  4. Production - Repeat Seed      6 configs x 2 seeds, main recipe (embedding + pooling confirmation)</t>
  </si>
  <si>
    <t xml:space="preserve">  5. Richer-Stem - CNN-S4D-Hybrid  CNN-only / S4D-only / hybrid, short vs main recipe</t>
  </si>
  <si>
    <t xml:space="preserve">  6. Richer-Stem - Scale Sweep     Hybrid at ~100K/300K/700K params, grayscale, short recipe</t>
  </si>
  <si>
    <t xml:space="preserve">  7. Richer-Stem - Grid            Stem depth (1-4) x S4D layers (0-2), short vs main recipe</t>
  </si>
  <si>
    <t xml:space="preserve">  8. Noise Robustness (raw)        13 models x 5 noise levels -- not tabulated in the LaTeX report</t>
  </si>
  <si>
    <t xml:space="preserve">  9. GroupNorm Folding             RISC-V portability test: cost of folding GroupNorm at export</t>
  </si>
  <si>
    <t xml:space="preserve">Not included: appendix training-curve/confusion-matrix images (figures only, no tabular data);</t>
  </si>
  <si>
    <t xml:space="preserve">the two richer-grid cells (stem_1+2 S4D, raw-pixel baseline) and the noise-robustness repeat-seed</t>
  </si>
  <si>
    <t xml:space="preserve">sweep that the report's own GPU quota ran out before completing -- these are genuinely absent from</t>
  </si>
  <si>
    <t xml:space="preserve">every notebook, not just missed in extraction (see report Section 'Follow-Up Validation').</t>
  </si>
  <si>
    <t xml:space="preserve">Generated by scripts/build_report_excel.py -- rerun after adding new results to results/runs/.</t>
  </si>
  <si>
    <t xml:space="preserve">Quick Summary (formulas reference the Production - Master Table sheet)</t>
  </si>
  <si>
    <t xml:space="preserve">Production family: # configurations</t>
  </si>
  <si>
    <t xml:space="preserve">Production family: best accuracy</t>
  </si>
  <si>
    <t xml:space="preserve">Production family: worst accuracy</t>
  </si>
  <si>
    <t xml:space="preserve">Production family: avg accuracy (conv embed)</t>
  </si>
  <si>
    <t xml:space="preserve">Production family: avg accuracy (linear embed)</t>
  </si>
  <si>
    <t xml:space="preserve">Total runs compiled across all sheets</t>
  </si>
  <si>
    <t xml:space="preserve">Columns G (accuracy) on the Master Table, used above, are stored as fractions (0.868 = 86.80%).</t>
  </si>
  <si>
    <t xml:space="preserve">Full ablation series, production family (ConvPatchStem / S4DConv). One seed each unless noted.</t>
  </si>
  <si>
    <t xml:space="preserve">model</t>
  </si>
  <si>
    <t xml:space="preserve">embed</t>
  </si>
  <si>
    <t xml:space="preserve">layers</t>
  </si>
  <si>
    <t xml:space="preserve">pooling</t>
  </si>
  <si>
    <t xml:space="preserve">seed</t>
  </si>
  <si>
    <t xml:space="preserve">params</t>
  </si>
  <si>
    <t xml:space="preserve">accuracy</t>
  </si>
  <si>
    <t xml:space="preserve">f1</t>
  </si>
  <si>
    <t xml:space="preserve">precision</t>
  </si>
  <si>
    <t xml:space="preserve">recall</t>
  </si>
  <si>
    <t xml:space="preserve">auc</t>
  </si>
  <si>
    <t xml:space="preserve">source</t>
  </si>
  <si>
    <t xml:space="preserve">Best S4D (d=256)</t>
  </si>
  <si>
    <t xml:space="preserve">conv</t>
  </si>
  <si>
    <t xml:space="preserve">last</t>
  </si>
  <si>
    <t xml:space="preserve">notebooks/notebook-best-s4d-model(1).ipynb</t>
  </si>
  <si>
    <t xml:space="preserve">2-Layer S4D (d=256)</t>
  </si>
  <si>
    <t xml:space="preserve">notebooks/s4d-2-layers.ipynb</t>
  </si>
  <si>
    <t xml:space="preserve">64-dim S4D (3L, re-run)</t>
  </si>
  <si>
    <t xml:space="preserve">notebooks/notebook-64x64-dimension.ipynb</t>
  </si>
  <si>
    <t xml:space="preserve">Conv Embed + No S4D</t>
  </si>
  <si>
    <t xml:space="preserve">mean</t>
  </si>
  <si>
    <t xml:space="preserve">notebooks/s4d-testing-scan-variants.ipynb</t>
  </si>
  <si>
    <t xml:space="preserve">Linear Embed + S4D (d=256)</t>
  </si>
  <si>
    <t xml:space="preserve">linear</t>
  </si>
  <si>
    <t xml:space="preserve">Linear Embed + S4D, mean pool</t>
  </si>
  <si>
    <t xml:space="preserve">notebooks/s4d-pooling-and-scale-tests.ipynb</t>
  </si>
  <si>
    <t xml:space="preserve">Linear Embed + No S4D</t>
  </si>
  <si>
    <t xml:space="preserve">Pooling Confound (conv+S4D, mean)</t>
  </si>
  <si>
    <t xml:space="preserve">Small Conv + S4D (d=72)</t>
  </si>
  <si>
    <t xml:space="preserve">notebooks/s4d-width-scan-test.ipynb</t>
  </si>
  <si>
    <t xml:space="preserve">Linear + S4D (d=72)</t>
  </si>
  <si>
    <t xml:space="preserve">notebooks/small-linear-s4d-70k-parameters.ipynb</t>
  </si>
  <si>
    <t xml:space="preserve">Linear + S4D (d=90)</t>
  </si>
  <si>
    <t xml:space="preserve">Linear + S4D (d~108, seed 30485)</t>
  </si>
  <si>
    <t xml:space="preserve">notebooks/s4d-108d-test.ipynb</t>
  </si>
  <si>
    <t xml:space="preserve">Linear + S4D (d~108, seed 8842)</t>
  </si>
  <si>
    <t xml:space="preserve">notebooks/s4d-108d-test(2).ipynb</t>
  </si>
  <si>
    <t xml:space="preserve">Each architecture retrained under the OTHER family's recipe, seed 30485, shared 80/20 split.</t>
  </si>
  <si>
    <t xml:space="preserve">native_recipe</t>
  </si>
  <si>
    <t xml:space="preserve">tested_recipe</t>
  </si>
  <si>
    <t xml:space="preserve">native_acc</t>
  </si>
  <si>
    <t xml:space="preserve">tested_acc</t>
  </si>
  <si>
    <t xml:space="preserve">tested_f1</t>
  </si>
  <si>
    <t xml:space="preserve">tested_auc</t>
  </si>
  <si>
    <t xml:space="preserve">Best S4D (528K, 3L)</t>
  </si>
  <si>
    <t xml:space="preserve">main</t>
  </si>
  <si>
    <t xml:space="preserve">short</t>
  </si>
  <si>
    <t xml:space="preserve">notebooks/report-discrepency-testing.ipynb</t>
  </si>
  <si>
    <t xml:space="preserve">2-Layer S4D (396K, 2L)</t>
  </si>
  <si>
    <t xml:space="preserve">Small Conv+S4D (69.7K, 3L)</t>
  </si>
  <si>
    <t xml:space="preserve">Richer-stem Hybrid (55.1K, 2L)</t>
  </si>
  <si>
    <t xml:space="preserve">Richer-stem Hybrid (98.3K, 3L)</t>
  </si>
  <si>
    <t xml:space="preserve">Richer-stem Hybrid (699.7K, 3L)</t>
  </si>
  <si>
    <t xml:space="preserve">Retrained under own native recipe purely to recover precision/recall/AUC missing from the original run.</t>
  </si>
  <si>
    <t xml:space="preserve">reported_acc</t>
  </si>
  <si>
    <t xml:space="preserve">retrain_acc</t>
  </si>
  <si>
    <t xml:space="preserve">6 configs x 2 seeds (30485, 8842), main recipe -- confirms conv-embedding edge, reverses earlier pooling reading.</t>
  </si>
  <si>
    <t xml:space="preserve">config</t>
  </si>
  <si>
    <t xml:space="preserve">seed_30485</t>
  </si>
  <si>
    <t xml:space="preserve">seed_8842</t>
  </si>
  <si>
    <t xml:space="preserve">spread</t>
  </si>
  <si>
    <t xml:space="preserve">Conv, d=256, last pool</t>
  </si>
  <si>
    <t xml:space="preserve">notebooks/s4d-future-work-validation-resumable-kaggle.ipynb</t>
  </si>
  <si>
    <t xml:space="preserve">Conv, d=256, mean pool</t>
  </si>
  <si>
    <t xml:space="preserve">Conv, d=72, last pool (~70K)</t>
  </si>
  <si>
    <t xml:space="preserve">Linear, d~108, last pool (~76K)</t>
  </si>
  <si>
    <t xml:space="preserve">Linear, d=256, last pool</t>
  </si>
  <si>
    <t xml:space="preserve">Linear, d=256, mean pool</t>
  </si>
  <si>
    <t xml:space="preserve">CNN-only baselines, S4D-only raw-pixel baseline, and the CNN+S4D hybrid, short vs main recipe.</t>
  </si>
  <si>
    <t xml:space="preserve">short_recipe_acc</t>
  </si>
  <si>
    <t xml:space="preserve">main_recipe_acc</t>
  </si>
  <si>
    <t xml:space="preserve">seed_short</t>
  </si>
  <si>
    <t xml:space="preserve">source_short</t>
  </si>
  <si>
    <t xml:space="preserve">source_main</t>
  </si>
  <si>
    <t xml:space="preserve">CNN-only Tiny (~10K)</t>
  </si>
  <si>
    <t xml:space="preserve">notebooks/lodhi-training-re-runs(1).ipynb</t>
  </si>
  <si>
    <t xml:space="preserve">notebooks/further-report-discrepency-testing.ipynb</t>
  </si>
  <si>
    <t xml:space="preserve">CNN-only Small (~43K)</t>
  </si>
  <si>
    <t xml:space="preserve">CNN-only Large (~61K)</t>
  </si>
  <si>
    <t xml:space="preserve">S4D-only baseline (no CNN, 17K)</t>
  </si>
  <si>
    <t xml:space="preserve">LaTeX report (grid table, not independently re-verified per report footnote)</t>
  </si>
  <si>
    <t xml:space="preserve">CNN+S4D hybrid (55.1K, 2L)</t>
  </si>
  <si>
    <t xml:space="preserve">Hybrid model at ~100K/300K/700K params, grayscale input, short recipe, seed 42.</t>
  </si>
  <si>
    <t xml:space="preserve">d_model</t>
  </si>
  <si>
    <t xml:space="preserve">s4_state</t>
  </si>
  <si>
    <t xml:space="preserve">mid_channels</t>
  </si>
  <si>
    <t xml:space="preserve">num_s4_layers</t>
  </si>
  <si>
    <t xml:space="preserve">colored</t>
  </si>
  <si>
    <t xml:space="preserve">hybrid_100k</t>
  </si>
  <si>
    <t xml:space="preserve">notebooks/lodhi-training-re-runs(1).ipynb (scripts/legacy/train_hybrid_scale.py)</t>
  </si>
  <si>
    <t xml:space="preserve">hybrid_300k</t>
  </si>
  <si>
    <t xml:space="preserve">hybrid_700k</t>
  </si>
  <si>
    <t xml:space="preserve">Stem depth x S4D layer count, both recipes. S4D-only raw-pixel baseline (17,156 params) also part of this grid; short-recipe 70.50% (source: lodhi-training-re-runs(1).ipynb); not re-run under main recipe before the GPU quota was exhausted.</t>
  </si>
  <si>
    <t xml:space="preserve">stem</t>
  </si>
  <si>
    <t xml:space="preserve">stem_depth</t>
  </si>
  <si>
    <t xml:space="preserve">s4_layers</t>
  </si>
  <si>
    <t xml:space="preserve">short_recipe_f1</t>
  </si>
  <si>
    <t xml:space="preserve">short_recipe_auc</t>
  </si>
  <si>
    <t xml:space="preserve">main_recipe_note</t>
  </si>
  <si>
    <t xml:space="preserve">stem_full (4L)</t>
  </si>
  <si>
    <t xml:space="preserve">notebooks/future-work-training-v3.ipynb</t>
  </si>
  <si>
    <t xml:space="preserve">stem_3 (3L, drop res_conv)</t>
  </si>
  <si>
    <t xml:space="preserve">stem_2 (2L, 1 detail+1 down)</t>
  </si>
  <si>
    <t xml:space="preserve">stem_1 (1L, detail only)</t>
  </si>
  <si>
    <t xml:space="preserve">not run before GPU quota exhausted</t>
  </si>
  <si>
    <t xml:space="preserve">n/a</t>
  </si>
  <si>
    <t xml:space="preserve">Additive Gaussian pixel noise at test time only, short recipe, no repeat seed. Accuracy in percent (not fraction).</t>
  </si>
  <si>
    <t xml:space="preserve">clean_acc</t>
  </si>
  <si>
    <t xml:space="preserve">sigma_00</t>
  </si>
  <si>
    <t xml:space="preserve">sigma_005</t>
  </si>
  <si>
    <t xml:space="preserve">sigma_01</t>
  </si>
  <si>
    <t xml:space="preserve">sigma_02</t>
  </si>
  <si>
    <t xml:space="preserve">sigma_03</t>
  </si>
  <si>
    <t xml:space="preserve">note</t>
  </si>
  <si>
    <t xml:space="preserve">S4D-only baseline (no CNN)</t>
  </si>
  <si>
    <t xml:space="preserve">Test-time-only additive Gaussian pixel noise; no repeat seed (see report Section 'Robustness to Input Noise')</t>
  </si>
  <si>
    <t xml:space="preserve">stem_full (4L) + 0 S4D</t>
  </si>
  <si>
    <t xml:space="preserve">stem_full (4L) + 1 S4D</t>
  </si>
  <si>
    <t xml:space="preserve">stem_full (4L) + 2 S4D</t>
  </si>
  <si>
    <t xml:space="preserve">stem_3 (drop res_conv) + 0 S4D</t>
  </si>
  <si>
    <t xml:space="preserve">stem_3 (drop res_conv) + 1 S4D</t>
  </si>
  <si>
    <t xml:space="preserve">stem_3 (drop res_conv) + 2 S4D</t>
  </si>
  <si>
    <t xml:space="preserve">stem_2 (1 detail + 1 down) + 0 S4D</t>
  </si>
  <si>
    <t xml:space="preserve">stem_2 (1 detail + 1 down) + 1 S4D</t>
  </si>
  <si>
    <t xml:space="preserve">stem_2 (1 detail + 1 down) + 2 S4D</t>
  </si>
  <si>
    <t xml:space="preserve">stem_1 (detail only) + 0 S4D</t>
  </si>
  <si>
    <t xml:space="preserve">stem_1 (detail only) + 1 S4D</t>
  </si>
  <si>
    <t xml:space="preserve">stem_1 (detail only) + 2 S4D</t>
  </si>
  <si>
    <t xml:space="preserve">RISC-V portability test: cost of folding GroupNorm's running stats into the preceding conv at export time.</t>
  </si>
  <si>
    <t xml:space="preserve">variant</t>
  </si>
  <si>
    <t xml:space="preserve">split</t>
  </si>
  <si>
    <t xml:space="preserve">Original (dynamic GroupNorm)</t>
  </si>
  <si>
    <t xml:space="preserve">val</t>
  </si>
  <si>
    <t xml:space="preserve">stem_full + 2 S4D (55.1K params, seed 30485, main recipe)</t>
  </si>
  <si>
    <t xml:space="preserve">Calibrated fixed-stat, folded</t>
  </si>
  <si>
    <t xml:space="preserve">test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</si>
</sst>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 t="s">
        <v>14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 t="s">
        <v>18</v>
      </c>
    </row>
    <row r="23" customFormat="false" ht="15" hidden="false" customHeight="false" outlineLevel="0" collapsed="false">
      <c r="A23" s="2"/>
    </row>
    <row r="24" customFormat="false" ht="15" hidden="false" customHeight="false" outlineLevel="0" collapsed="false">
      <c r="A24" s="4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20</v>
      </c>
    </row>
    <row r="3" customFormat="false" ht="15" hidden="false" customHeight="false" outlineLevel="0" collapsed="false">
      <c r="A3" s="2" t="s">
        <v>21</v>
      </c>
      <c r="B3" s="2" t="n">
        <f aca="false">COUNTA('Production - Master Table'!A4:A16)</f>
        <v>13</v>
      </c>
    </row>
    <row r="4" customFormat="false" ht="15" hidden="false" customHeight="false" outlineLevel="0" collapsed="false">
      <c r="A4" s="2" t="s">
        <v>22</v>
      </c>
      <c r="B4" s="5" t="n">
        <f aca="false">MAX('Production - Master Table'!G4:G16)</f>
        <v>0.868</v>
      </c>
    </row>
    <row r="5" customFormat="false" ht="15" hidden="false" customHeight="false" outlineLevel="0" collapsed="false">
      <c r="A5" s="2" t="s">
        <v>23</v>
      </c>
      <c r="B5" s="5" t="n">
        <f aca="false">MIN('Production - Master Table'!G4:G16)</f>
        <v>0.3585</v>
      </c>
    </row>
    <row r="6" customFormat="false" ht="15" hidden="false" customHeight="false" outlineLevel="0" collapsed="false">
      <c r="A6" s="2" t="s">
        <v>24</v>
      </c>
      <c r="B6" s="5" t="n">
        <f aca="false">AVERAGEIF('Production - Master Table'!B4:B16,"conv",'Production - Master Table'!G4:G16)</f>
        <v>0.799166666666667</v>
      </c>
    </row>
    <row r="7" customFormat="false" ht="15" hidden="false" customHeight="false" outlineLevel="0" collapsed="false">
      <c r="A7" s="2" t="s">
        <v>25</v>
      </c>
      <c r="B7" s="5" t="n">
        <f aca="false">AVERAGEIF('Production - Master Table'!B4:B16,"linear",'Production - Master Table'!G4:G16)</f>
        <v>0.746214285714286</v>
      </c>
    </row>
    <row r="8" customFormat="false" ht="15" hidden="false" customHeight="false" outlineLevel="0" collapsed="false">
      <c r="A8" s="2" t="s">
        <v>26</v>
      </c>
      <c r="B8" s="2" t="n">
        <v>138</v>
      </c>
    </row>
    <row r="10" customFormat="false" ht="15" hidden="false" customHeight="false" outlineLevel="0" collapsed="false">
      <c r="A10" s="4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8" min="2" style="0" width="10"/>
    <col collapsed="false" customWidth="true" hidden="false" outlineLevel="0" max="9" min="9" style="0" width="11"/>
    <col collapsed="false" customWidth="true" hidden="false" outlineLevel="0" max="11" min="10" style="0" width="10"/>
    <col collapsed="false" customWidth="true" hidden="false" outlineLevel="0" max="12" min="12" style="0" width="48"/>
  </cols>
  <sheetData>
    <row r="1" customFormat="false" ht="15" hidden="false" customHeight="false" outlineLevel="0" collapsed="false">
      <c r="A1" s="4" t="s">
        <v>28</v>
      </c>
    </row>
    <row r="3" customFormat="false" ht="15" hidden="false" customHeight="false" outlineLevel="0" collapsed="false">
      <c r="A3" s="6" t="s">
        <v>29</v>
      </c>
      <c r="B3" s="6" t="s">
        <v>30</v>
      </c>
      <c r="C3" s="6" t="s">
        <v>31</v>
      </c>
      <c r="D3" s="6" t="s">
        <v>32</v>
      </c>
      <c r="E3" s="6" t="s">
        <v>33</v>
      </c>
      <c r="F3" s="6" t="s">
        <v>34</v>
      </c>
      <c r="G3" s="6" t="s">
        <v>35</v>
      </c>
      <c r="H3" s="6" t="s">
        <v>36</v>
      </c>
      <c r="I3" s="6" t="s">
        <v>37</v>
      </c>
      <c r="J3" s="6" t="s">
        <v>38</v>
      </c>
      <c r="K3" s="6" t="s">
        <v>39</v>
      </c>
      <c r="L3" s="6" t="s">
        <v>40</v>
      </c>
    </row>
    <row r="4" customFormat="false" ht="15" hidden="false" customHeight="false" outlineLevel="0" collapsed="false">
      <c r="A4" s="2" t="s">
        <v>41</v>
      </c>
      <c r="B4" s="2" t="s">
        <v>42</v>
      </c>
      <c r="C4" s="2" t="n">
        <v>3</v>
      </c>
      <c r="D4" s="2" t="s">
        <v>43</v>
      </c>
      <c r="E4" s="2" t="n">
        <v>30485</v>
      </c>
      <c r="F4" s="2" t="n">
        <v>528004</v>
      </c>
      <c r="G4" s="5" t="n">
        <v>0.868</v>
      </c>
      <c r="H4" s="5" t="n">
        <v>0.8688</v>
      </c>
      <c r="I4" s="2"/>
      <c r="J4" s="2"/>
      <c r="K4" s="2"/>
      <c r="L4" s="2" t="s">
        <v>44</v>
      </c>
    </row>
    <row r="5" customFormat="false" ht="15" hidden="false" customHeight="false" outlineLevel="0" collapsed="false">
      <c r="A5" s="2" t="s">
        <v>45</v>
      </c>
      <c r="B5" s="2" t="s">
        <v>42</v>
      </c>
      <c r="C5" s="2" t="n">
        <v>2</v>
      </c>
      <c r="D5" s="2" t="s">
        <v>43</v>
      </c>
      <c r="E5" s="2" t="n">
        <v>30485</v>
      </c>
      <c r="F5" s="2" t="n">
        <v>396420</v>
      </c>
      <c r="G5" s="5" t="n">
        <v>0.864</v>
      </c>
      <c r="H5" s="5" t="n">
        <v>0.8647</v>
      </c>
      <c r="I5" s="2"/>
      <c r="J5" s="2"/>
      <c r="K5" s="2"/>
      <c r="L5" s="2" t="s">
        <v>46</v>
      </c>
    </row>
    <row r="6" customFormat="false" ht="15" hidden="false" customHeight="false" outlineLevel="0" collapsed="false">
      <c r="A6" s="2" t="s">
        <v>47</v>
      </c>
      <c r="B6" s="2" t="s">
        <v>42</v>
      </c>
      <c r="C6" s="2" t="n">
        <v>3</v>
      </c>
      <c r="D6" s="2" t="s">
        <v>43</v>
      </c>
      <c r="E6" s="2" t="n">
        <v>30485</v>
      </c>
      <c r="F6" s="2" t="n">
        <v>58948</v>
      </c>
      <c r="G6" s="5" t="n">
        <v>0.842</v>
      </c>
      <c r="H6" s="5" t="n">
        <v>0.8425</v>
      </c>
      <c r="I6" s="5" t="n">
        <v>0.8431</v>
      </c>
      <c r="J6" s="5" t="n">
        <v>0.8423</v>
      </c>
      <c r="K6" s="5" t="n">
        <v>0.9705</v>
      </c>
      <c r="L6" s="2" t="s">
        <v>48</v>
      </c>
    </row>
    <row r="7" customFormat="false" ht="15" hidden="false" customHeight="false" outlineLevel="0" collapsed="false">
      <c r="A7" s="2" t="s">
        <v>49</v>
      </c>
      <c r="B7" s="2" t="s">
        <v>42</v>
      </c>
      <c r="C7" s="2" t="n">
        <v>0</v>
      </c>
      <c r="D7" s="2" t="s">
        <v>50</v>
      </c>
      <c r="E7" s="2" t="n">
        <v>30485</v>
      </c>
      <c r="F7" s="2" t="n">
        <v>133252</v>
      </c>
      <c r="G7" s="5" t="n">
        <v>0.515</v>
      </c>
      <c r="H7" s="5" t="n">
        <v>0.5156</v>
      </c>
      <c r="I7" s="5" t="n">
        <v>0.5205</v>
      </c>
      <c r="J7" s="5" t="n">
        <v>0.5169</v>
      </c>
      <c r="K7" s="5" t="n">
        <v>0.773</v>
      </c>
      <c r="L7" s="2" t="s">
        <v>51</v>
      </c>
    </row>
    <row r="8" customFormat="false" ht="15" hidden="false" customHeight="false" outlineLevel="0" collapsed="false">
      <c r="A8" s="2" t="s">
        <v>52</v>
      </c>
      <c r="B8" s="2" t="s">
        <v>53</v>
      </c>
      <c r="C8" s="2" t="n">
        <v>3</v>
      </c>
      <c r="D8" s="2" t="s">
        <v>43</v>
      </c>
      <c r="E8" s="2" t="n">
        <v>30485</v>
      </c>
      <c r="F8" s="2" t="n">
        <v>408324</v>
      </c>
      <c r="G8" s="5" t="n">
        <v>0.8285</v>
      </c>
      <c r="H8" s="5" t="n">
        <v>0.829</v>
      </c>
      <c r="I8" s="5" t="n">
        <v>0.8299</v>
      </c>
      <c r="J8" s="5" t="n">
        <v>0.8294</v>
      </c>
      <c r="K8" s="5" t="n">
        <v>0.9621</v>
      </c>
      <c r="L8" s="2" t="s">
        <v>51</v>
      </c>
    </row>
    <row r="9" customFormat="false" ht="15" hidden="false" customHeight="false" outlineLevel="0" collapsed="false">
      <c r="A9" s="2" t="s">
        <v>54</v>
      </c>
      <c r="B9" s="2" t="s">
        <v>53</v>
      </c>
      <c r="C9" s="2" t="n">
        <v>3</v>
      </c>
      <c r="D9" s="2" t="s">
        <v>50</v>
      </c>
      <c r="E9" s="2" t="n">
        <v>30485</v>
      </c>
      <c r="F9" s="2" t="n">
        <v>408324</v>
      </c>
      <c r="G9" s="5" t="n">
        <v>0.822</v>
      </c>
      <c r="H9" s="5" t="n">
        <v>0.821</v>
      </c>
      <c r="I9" s="5" t="n">
        <v>0.8219</v>
      </c>
      <c r="J9" s="5" t="n">
        <v>0.8228</v>
      </c>
      <c r="K9" s="5" t="n">
        <v>0.9618</v>
      </c>
      <c r="L9" s="2" t="s">
        <v>55</v>
      </c>
    </row>
    <row r="10" customFormat="false" ht="15" hidden="false" customHeight="false" outlineLevel="0" collapsed="false">
      <c r="A10" s="2" t="s">
        <v>56</v>
      </c>
      <c r="B10" s="2" t="s">
        <v>53</v>
      </c>
      <c r="C10" s="2" t="n">
        <v>0</v>
      </c>
      <c r="D10" s="2" t="s">
        <v>50</v>
      </c>
      <c r="E10" s="2" t="n">
        <v>30485</v>
      </c>
      <c r="F10" s="2" t="n">
        <v>13572</v>
      </c>
      <c r="G10" s="5" t="n">
        <v>0.3585</v>
      </c>
      <c r="H10" s="5" t="n">
        <v>0.3528</v>
      </c>
      <c r="I10" s="5" t="n">
        <v>0.3613</v>
      </c>
      <c r="J10" s="5" t="n">
        <v>0.3604</v>
      </c>
      <c r="K10" s="5" t="n">
        <v>0.6195</v>
      </c>
      <c r="L10" s="2" t="s">
        <v>51</v>
      </c>
    </row>
    <row r="11" customFormat="false" ht="15" hidden="false" customHeight="false" outlineLevel="0" collapsed="false">
      <c r="A11" s="2" t="s">
        <v>57</v>
      </c>
      <c r="B11" s="2" t="s">
        <v>42</v>
      </c>
      <c r="C11" s="2" t="n">
        <v>3</v>
      </c>
      <c r="D11" s="2" t="s">
        <v>50</v>
      </c>
      <c r="E11" s="2" t="n">
        <v>30485</v>
      </c>
      <c r="F11" s="2" t="n">
        <v>528004</v>
      </c>
      <c r="G11" s="5" t="n">
        <v>0.8545</v>
      </c>
      <c r="H11" s="5" t="n">
        <v>0.8544</v>
      </c>
      <c r="I11" s="5" t="n">
        <v>0.856</v>
      </c>
      <c r="J11" s="5" t="n">
        <v>0.8546</v>
      </c>
      <c r="K11" s="5" t="n">
        <v>0.9716</v>
      </c>
      <c r="L11" s="2" t="s">
        <v>55</v>
      </c>
    </row>
    <row r="12" customFormat="false" ht="15" hidden="false" customHeight="false" outlineLevel="0" collapsed="false">
      <c r="A12" s="2" t="s">
        <v>58</v>
      </c>
      <c r="B12" s="2" t="s">
        <v>42</v>
      </c>
      <c r="C12" s="2" t="n">
        <v>3</v>
      </c>
      <c r="D12" s="2" t="s">
        <v>43</v>
      </c>
      <c r="E12" s="2" t="n">
        <v>30485</v>
      </c>
      <c r="F12" s="2" t="n">
        <v>69660</v>
      </c>
      <c r="G12" s="5" t="n">
        <v>0.8515</v>
      </c>
      <c r="H12" s="5" t="n">
        <v>0.8522</v>
      </c>
      <c r="I12" s="5" t="n">
        <v>0.8528</v>
      </c>
      <c r="J12" s="5" t="n">
        <v>0.852</v>
      </c>
      <c r="K12" s="5" t="n">
        <v>0.9727</v>
      </c>
      <c r="L12" s="2" t="s">
        <v>59</v>
      </c>
    </row>
    <row r="13" customFormat="false" ht="15" hidden="false" customHeight="false" outlineLevel="0" collapsed="false">
      <c r="A13" s="2" t="s">
        <v>60</v>
      </c>
      <c r="B13" s="2" t="s">
        <v>53</v>
      </c>
      <c r="C13" s="2" t="n">
        <v>3</v>
      </c>
      <c r="D13" s="2" t="s">
        <v>43</v>
      </c>
      <c r="E13" s="2" t="n">
        <v>30485</v>
      </c>
      <c r="F13" s="2" t="n">
        <v>35356</v>
      </c>
      <c r="G13" s="5" t="n">
        <v>0.802</v>
      </c>
      <c r="H13" s="5" t="n">
        <v>0.8028</v>
      </c>
      <c r="I13" s="5" t="n">
        <v>0.8043</v>
      </c>
      <c r="J13" s="5" t="n">
        <v>0.8033</v>
      </c>
      <c r="K13" s="5" t="n">
        <v>0.9562</v>
      </c>
      <c r="L13" s="2" t="s">
        <v>61</v>
      </c>
    </row>
    <row r="14" customFormat="false" ht="15" hidden="false" customHeight="false" outlineLevel="0" collapsed="false">
      <c r="A14" s="2" t="s">
        <v>62</v>
      </c>
      <c r="B14" s="2" t="s">
        <v>53</v>
      </c>
      <c r="C14" s="2" t="n">
        <v>3</v>
      </c>
      <c r="D14" s="2" t="s">
        <v>43</v>
      </c>
      <c r="E14" s="2" t="n">
        <v>30485</v>
      </c>
      <c r="F14" s="2" t="n">
        <v>53914</v>
      </c>
      <c r="G14" s="5" t="n">
        <v>0.801</v>
      </c>
      <c r="H14" s="5" t="n">
        <v>0.8016</v>
      </c>
      <c r="I14" s="2"/>
      <c r="J14" s="2"/>
      <c r="K14" s="5" t="n">
        <v>0.9578</v>
      </c>
      <c r="L14" s="2" t="s">
        <v>59</v>
      </c>
    </row>
    <row r="15" customFormat="false" ht="15" hidden="false" customHeight="false" outlineLevel="0" collapsed="false">
      <c r="A15" s="2" t="s">
        <v>63</v>
      </c>
      <c r="B15" s="2" t="s">
        <v>53</v>
      </c>
      <c r="C15" s="2" t="n">
        <v>3</v>
      </c>
      <c r="D15" s="2" t="s">
        <v>43</v>
      </c>
      <c r="E15" s="2" t="n">
        <v>30485</v>
      </c>
      <c r="F15" s="2" t="n">
        <v>76360</v>
      </c>
      <c r="G15" s="5" t="n">
        <v>0.7895</v>
      </c>
      <c r="H15" s="5" t="n">
        <v>0.7902</v>
      </c>
      <c r="I15" s="5" t="n">
        <v>0.7907</v>
      </c>
      <c r="J15" s="5" t="n">
        <v>0.7903</v>
      </c>
      <c r="K15" s="5" t="n">
        <v>0.9551</v>
      </c>
      <c r="L15" s="2" t="s">
        <v>64</v>
      </c>
    </row>
    <row r="16" customFormat="false" ht="15" hidden="false" customHeight="false" outlineLevel="0" collapsed="false">
      <c r="A16" s="2" t="s">
        <v>65</v>
      </c>
      <c r="B16" s="2" t="s">
        <v>53</v>
      </c>
      <c r="C16" s="2" t="n">
        <v>3</v>
      </c>
      <c r="D16" s="2" t="s">
        <v>43</v>
      </c>
      <c r="E16" s="2" t="n">
        <v>8842</v>
      </c>
      <c r="F16" s="2" t="n">
        <v>76360</v>
      </c>
      <c r="G16" s="5" t="n">
        <v>0.822</v>
      </c>
      <c r="H16" s="5" t="n">
        <v>0.822</v>
      </c>
      <c r="I16" s="5" t="n">
        <v>0.8235</v>
      </c>
      <c r="J16" s="5" t="n">
        <v>0.8231</v>
      </c>
      <c r="K16" s="5" t="n">
        <v>0.9615</v>
      </c>
      <c r="L16" s="2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3"/>
    <col collapsed="false" customWidth="true" hidden="false" outlineLevel="0" max="3" min="2" style="0" width="15"/>
    <col collapsed="false" customWidth="true" hidden="false" outlineLevel="0" max="5" min="4" style="0" width="12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44"/>
  </cols>
  <sheetData>
    <row r="1" customFormat="false" ht="15" hidden="false" customHeight="false" outlineLevel="0" collapsed="false">
      <c r="A1" s="4" t="s">
        <v>67</v>
      </c>
    </row>
    <row r="3" customFormat="false" ht="15" hidden="false" customHeight="false" outlineLevel="0" collapsed="false">
      <c r="A3" s="6" t="s">
        <v>29</v>
      </c>
      <c r="B3" s="6" t="s">
        <v>68</v>
      </c>
      <c r="C3" s="6" t="s">
        <v>69</v>
      </c>
      <c r="D3" s="6" t="s">
        <v>70</v>
      </c>
      <c r="E3" s="6" t="s">
        <v>71</v>
      </c>
      <c r="F3" s="6" t="s">
        <v>72</v>
      </c>
      <c r="G3" s="6" t="s">
        <v>73</v>
      </c>
      <c r="H3" s="6" t="s">
        <v>40</v>
      </c>
    </row>
    <row r="4" customFormat="false" ht="15" hidden="false" customHeight="false" outlineLevel="0" collapsed="false">
      <c r="A4" s="2" t="s">
        <v>74</v>
      </c>
      <c r="B4" s="2" t="s">
        <v>75</v>
      </c>
      <c r="C4" s="2" t="s">
        <v>76</v>
      </c>
      <c r="D4" s="5" t="n">
        <v>0.868</v>
      </c>
      <c r="E4" s="5" t="n">
        <v>0.776</v>
      </c>
      <c r="F4" s="5" t="n">
        <v>0.7763</v>
      </c>
      <c r="G4" s="5" t="n">
        <v>0.9465</v>
      </c>
      <c r="H4" s="2" t="s">
        <v>77</v>
      </c>
    </row>
    <row r="5" customFormat="false" ht="15" hidden="false" customHeight="false" outlineLevel="0" collapsed="false">
      <c r="A5" s="2" t="s">
        <v>78</v>
      </c>
      <c r="B5" s="2" t="s">
        <v>75</v>
      </c>
      <c r="C5" s="2" t="s">
        <v>76</v>
      </c>
      <c r="D5" s="5" t="n">
        <v>0.864</v>
      </c>
      <c r="E5" s="5" t="n">
        <v>0.7835</v>
      </c>
      <c r="F5" s="5" t="n">
        <v>0.784</v>
      </c>
      <c r="G5" s="5" t="n">
        <v>0.9489</v>
      </c>
      <c r="H5" s="2" t="s">
        <v>77</v>
      </c>
    </row>
    <row r="6" customFormat="false" ht="15" hidden="false" customHeight="false" outlineLevel="0" collapsed="false">
      <c r="A6" s="2" t="s">
        <v>79</v>
      </c>
      <c r="B6" s="2" t="s">
        <v>75</v>
      </c>
      <c r="C6" s="2" t="s">
        <v>76</v>
      </c>
      <c r="D6" s="5" t="n">
        <v>0.8515</v>
      </c>
      <c r="E6" s="5" t="n">
        <v>0.753</v>
      </c>
      <c r="F6" s="5" t="n">
        <v>0.7531</v>
      </c>
      <c r="G6" s="5" t="n">
        <v>0.9296</v>
      </c>
      <c r="H6" s="2" t="s">
        <v>77</v>
      </c>
    </row>
    <row r="7" customFormat="false" ht="15" hidden="false" customHeight="false" outlineLevel="0" collapsed="false">
      <c r="A7" s="2" t="s">
        <v>80</v>
      </c>
      <c r="B7" s="2" t="s">
        <v>76</v>
      </c>
      <c r="C7" s="2" t="s">
        <v>75</v>
      </c>
      <c r="D7" s="5" t="n">
        <v>0.8735</v>
      </c>
      <c r="E7" s="5" t="n">
        <v>0.8975</v>
      </c>
      <c r="F7" s="5" t="n">
        <v>0.8979</v>
      </c>
      <c r="G7" s="5" t="n">
        <v>0.9854</v>
      </c>
      <c r="H7" s="2" t="s">
        <v>77</v>
      </c>
    </row>
    <row r="8" customFormat="false" ht="15" hidden="false" customHeight="false" outlineLevel="0" collapsed="false">
      <c r="A8" s="2" t="s">
        <v>81</v>
      </c>
      <c r="B8" s="2" t="s">
        <v>76</v>
      </c>
      <c r="C8" s="2" t="s">
        <v>75</v>
      </c>
      <c r="D8" s="5" t="n">
        <v>0.875</v>
      </c>
      <c r="E8" s="5" t="n">
        <v>0.9005</v>
      </c>
      <c r="F8" s="5" t="n">
        <v>0.9011</v>
      </c>
      <c r="G8" s="5" t="n">
        <v>0.9859</v>
      </c>
      <c r="H8" s="2" t="s">
        <v>77</v>
      </c>
    </row>
    <row r="9" customFormat="false" ht="15" hidden="false" customHeight="false" outlineLevel="0" collapsed="false">
      <c r="A9" s="2" t="s">
        <v>82</v>
      </c>
      <c r="B9" s="2" t="s">
        <v>76</v>
      </c>
      <c r="C9" s="2" t="s">
        <v>75</v>
      </c>
      <c r="D9" s="5" t="n">
        <v>0.875</v>
      </c>
      <c r="E9" s="5" t="n">
        <v>0.8975</v>
      </c>
      <c r="F9" s="5" t="n">
        <v>0.8982</v>
      </c>
      <c r="G9" s="5" t="n">
        <v>0.9865</v>
      </c>
      <c r="H9" s="2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7" min="6" style="0" width="10"/>
    <col collapsed="false" customWidth="true" hidden="false" outlineLevel="0" max="8" min="8" style="0" width="44"/>
  </cols>
  <sheetData>
    <row r="1" customFormat="false" ht="15" hidden="false" customHeight="false" outlineLevel="0" collapsed="false">
      <c r="A1" s="4" t="s">
        <v>83</v>
      </c>
    </row>
    <row r="3" customFormat="false" ht="15" hidden="false" customHeight="false" outlineLevel="0" collapsed="false">
      <c r="A3" s="6" t="s">
        <v>29</v>
      </c>
      <c r="B3" s="6" t="s">
        <v>84</v>
      </c>
      <c r="C3" s="6" t="s">
        <v>85</v>
      </c>
      <c r="D3" s="6" t="s">
        <v>36</v>
      </c>
      <c r="E3" s="6" t="s">
        <v>37</v>
      </c>
      <c r="F3" s="6" t="s">
        <v>38</v>
      </c>
      <c r="G3" s="6" t="s">
        <v>39</v>
      </c>
      <c r="H3" s="6" t="s">
        <v>40</v>
      </c>
    </row>
    <row r="4" customFormat="false" ht="15" hidden="false" customHeight="false" outlineLevel="0" collapsed="false">
      <c r="A4" s="2" t="s">
        <v>74</v>
      </c>
      <c r="B4" s="5" t="n">
        <v>0.868</v>
      </c>
      <c r="C4" s="5" t="n">
        <v>0.853</v>
      </c>
      <c r="D4" s="5" t="n">
        <v>0.8536</v>
      </c>
      <c r="E4" s="5" t="n">
        <v>0.8537</v>
      </c>
      <c r="F4" s="5" t="n">
        <v>0.8537</v>
      </c>
      <c r="G4" s="5" t="n">
        <v>0.973</v>
      </c>
      <c r="H4" s="2" t="s">
        <v>77</v>
      </c>
    </row>
    <row r="5" customFormat="false" ht="15" hidden="false" customHeight="false" outlineLevel="0" collapsed="false">
      <c r="A5" s="2" t="s">
        <v>78</v>
      </c>
      <c r="B5" s="5" t="n">
        <v>0.864</v>
      </c>
      <c r="C5" s="5" t="n">
        <v>0.8555</v>
      </c>
      <c r="D5" s="5" t="n">
        <v>0.856</v>
      </c>
      <c r="E5" s="5" t="n">
        <v>0.8564</v>
      </c>
      <c r="F5" s="5" t="n">
        <v>0.8562</v>
      </c>
      <c r="G5" s="5" t="n">
        <v>0.9736</v>
      </c>
      <c r="H5" s="2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3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48"/>
  </cols>
  <sheetData>
    <row r="1" customFormat="false" ht="15" hidden="false" customHeight="false" outlineLevel="0" collapsed="false">
      <c r="A1" s="4" t="s">
        <v>86</v>
      </c>
    </row>
    <row r="3" customFormat="false" ht="26.85" hidden="false" customHeight="false" outlineLevel="0" collapsed="false">
      <c r="A3" s="6" t="s">
        <v>87</v>
      </c>
      <c r="B3" s="6" t="s">
        <v>88</v>
      </c>
      <c r="C3" s="6" t="s">
        <v>89</v>
      </c>
      <c r="D3" s="6" t="s">
        <v>90</v>
      </c>
      <c r="E3" s="6" t="s">
        <v>40</v>
      </c>
    </row>
    <row r="4" customFormat="false" ht="15" hidden="false" customHeight="false" outlineLevel="0" collapsed="false">
      <c r="A4" s="2" t="s">
        <v>91</v>
      </c>
      <c r="B4" s="5" t="n">
        <v>0.8355</v>
      </c>
      <c r="C4" s="5" t="n">
        <v>0.838</v>
      </c>
      <c r="D4" s="5" t="n">
        <v>0.0025</v>
      </c>
      <c r="E4" s="2" t="s">
        <v>92</v>
      </c>
    </row>
    <row r="5" customFormat="false" ht="15" hidden="false" customHeight="false" outlineLevel="0" collapsed="false">
      <c r="A5" s="2" t="s">
        <v>93</v>
      </c>
      <c r="B5" s="5" t="n">
        <v>0.842</v>
      </c>
      <c r="C5" s="5" t="n">
        <v>0.847</v>
      </c>
      <c r="D5" s="5" t="n">
        <v>0.005</v>
      </c>
      <c r="E5" s="2" t="s">
        <v>92</v>
      </c>
    </row>
    <row r="6" customFormat="false" ht="15" hidden="false" customHeight="false" outlineLevel="0" collapsed="false">
      <c r="A6" s="2" t="s">
        <v>94</v>
      </c>
      <c r="B6" s="5" t="n">
        <v>0.836</v>
      </c>
      <c r="C6" s="5" t="n">
        <v>0.8355</v>
      </c>
      <c r="D6" s="5" t="n">
        <v>0.0005</v>
      </c>
      <c r="E6" s="2" t="s">
        <v>92</v>
      </c>
    </row>
    <row r="7" customFormat="false" ht="15" hidden="false" customHeight="false" outlineLevel="0" collapsed="false">
      <c r="A7" s="2" t="s">
        <v>95</v>
      </c>
      <c r="B7" s="5" t="n">
        <v>0.7965</v>
      </c>
      <c r="C7" s="5" t="n">
        <v>0.81</v>
      </c>
      <c r="D7" s="5" t="n">
        <v>0.0135</v>
      </c>
      <c r="E7" s="2" t="s">
        <v>92</v>
      </c>
    </row>
    <row r="8" customFormat="false" ht="15" hidden="false" customHeight="false" outlineLevel="0" collapsed="false">
      <c r="A8" s="2" t="s">
        <v>96</v>
      </c>
      <c r="B8" s="5" t="n">
        <v>0.817</v>
      </c>
      <c r="C8" s="5" t="n">
        <v>0.821</v>
      </c>
      <c r="D8" s="5" t="n">
        <v>0.004</v>
      </c>
      <c r="E8" s="2" t="s">
        <v>92</v>
      </c>
    </row>
    <row r="9" customFormat="false" ht="15" hidden="false" customHeight="false" outlineLevel="0" collapsed="false">
      <c r="A9" s="2" t="s">
        <v>97</v>
      </c>
      <c r="B9" s="5" t="n">
        <v>0.8175</v>
      </c>
      <c r="C9" s="5" t="n">
        <v>0.8315</v>
      </c>
      <c r="D9" s="5" t="n">
        <v>0.014</v>
      </c>
      <c r="E9" s="2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3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43"/>
    <col collapsed="false" customWidth="true" hidden="false" outlineLevel="0" max="7" min="7" style="0" width="48"/>
  </cols>
  <sheetData>
    <row r="1" customFormat="false" ht="15" hidden="false" customHeight="false" outlineLevel="0" collapsed="false">
      <c r="A1" s="4" t="s">
        <v>98</v>
      </c>
    </row>
    <row r="3" customFormat="false" ht="26.85" hidden="false" customHeight="false" outlineLevel="0" collapsed="false">
      <c r="A3" s="6" t="s">
        <v>29</v>
      </c>
      <c r="B3" s="6" t="s">
        <v>34</v>
      </c>
      <c r="C3" s="6" t="s">
        <v>99</v>
      </c>
      <c r="D3" s="6" t="s">
        <v>100</v>
      </c>
      <c r="E3" s="6" t="s">
        <v>101</v>
      </c>
      <c r="F3" s="6" t="s">
        <v>102</v>
      </c>
      <c r="G3" s="6" t="s">
        <v>103</v>
      </c>
    </row>
    <row r="4" customFormat="false" ht="15" hidden="false" customHeight="false" outlineLevel="0" collapsed="false">
      <c r="A4" s="2" t="s">
        <v>104</v>
      </c>
      <c r="B4" s="2" t="n">
        <v>10020</v>
      </c>
      <c r="C4" s="5" t="n">
        <v>0.8155</v>
      </c>
      <c r="D4" s="5" t="n">
        <v>0.877</v>
      </c>
      <c r="E4" s="2" t="n">
        <v>30485</v>
      </c>
      <c r="F4" s="2" t="s">
        <v>105</v>
      </c>
      <c r="G4" s="2" t="s">
        <v>106</v>
      </c>
    </row>
    <row r="5" customFormat="false" ht="15" hidden="false" customHeight="false" outlineLevel="0" collapsed="false">
      <c r="A5" s="2" t="s">
        <v>107</v>
      </c>
      <c r="B5" s="2" t="n">
        <v>42756</v>
      </c>
      <c r="C5" s="5" t="n">
        <v>0.841</v>
      </c>
      <c r="D5" s="5" t="n">
        <v>0.89</v>
      </c>
      <c r="E5" s="2" t="n">
        <v>30485</v>
      </c>
      <c r="F5" s="2" t="s">
        <v>105</v>
      </c>
      <c r="G5" s="2" t="s">
        <v>106</v>
      </c>
    </row>
    <row r="6" customFormat="false" ht="15" hidden="false" customHeight="false" outlineLevel="0" collapsed="false">
      <c r="A6" s="2" t="s">
        <v>108</v>
      </c>
      <c r="B6" s="2" t="n">
        <v>61044</v>
      </c>
      <c r="C6" s="5" t="n">
        <v>0.846</v>
      </c>
      <c r="D6" s="5" t="n">
        <v>0.8925</v>
      </c>
      <c r="E6" s="2" t="n">
        <v>30485</v>
      </c>
      <c r="F6" s="2" t="s">
        <v>105</v>
      </c>
      <c r="G6" s="2" t="s">
        <v>106</v>
      </c>
    </row>
    <row r="7" customFormat="false" ht="15" hidden="false" customHeight="false" outlineLevel="0" collapsed="false">
      <c r="A7" s="2" t="s">
        <v>109</v>
      </c>
      <c r="B7" s="2" t="n">
        <v>17156</v>
      </c>
      <c r="C7" s="5" t="n">
        <v>0.705</v>
      </c>
      <c r="D7" s="5" t="n">
        <v>0.7845</v>
      </c>
      <c r="E7" s="2" t="n">
        <v>30485</v>
      </c>
      <c r="F7" s="2" t="s">
        <v>105</v>
      </c>
      <c r="G7" s="2" t="s">
        <v>110</v>
      </c>
    </row>
    <row r="8" customFormat="false" ht="15" hidden="false" customHeight="false" outlineLevel="0" collapsed="false">
      <c r="A8" s="2" t="s">
        <v>111</v>
      </c>
      <c r="B8" s="2" t="n">
        <v>55108</v>
      </c>
      <c r="C8" s="5" t="n">
        <v>0.8735</v>
      </c>
      <c r="D8" s="5" t="n">
        <v>0.8975</v>
      </c>
      <c r="E8" s="2" t="n">
        <v>42</v>
      </c>
      <c r="F8" s="2" t="s">
        <v>105</v>
      </c>
      <c r="G8" s="2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4" min="2" style="0" width="10"/>
    <col collapsed="false" customWidth="true" hidden="false" outlineLevel="0" max="5" min="5" style="0" width="11"/>
    <col collapsed="false" customWidth="true" hidden="false" outlineLevel="0" max="9" min="6" style="0" width="10"/>
    <col collapsed="false" customWidth="true" hidden="false" outlineLevel="0" max="10" min="10" style="0" width="14"/>
    <col collapsed="false" customWidth="true" hidden="false" outlineLevel="0" max="11" min="11" style="0" width="15"/>
    <col collapsed="false" customWidth="true" hidden="false" outlineLevel="0" max="13" min="12" style="0" width="10"/>
    <col collapsed="false" customWidth="true" hidden="false" outlineLevel="0" max="14" min="14" style="0" width="48"/>
  </cols>
  <sheetData>
    <row r="1" customFormat="false" ht="15" hidden="false" customHeight="false" outlineLevel="0" collapsed="false">
      <c r="A1" s="4" t="s">
        <v>112</v>
      </c>
    </row>
    <row r="3" customFormat="false" ht="26.85" hidden="false" customHeight="false" outlineLevel="0" collapsed="false">
      <c r="A3" s="6" t="s">
        <v>29</v>
      </c>
      <c r="B3" s="6" t="s">
        <v>34</v>
      </c>
      <c r="C3" s="6" t="s">
        <v>35</v>
      </c>
      <c r="D3" s="6" t="s">
        <v>36</v>
      </c>
      <c r="E3" s="6" t="s">
        <v>37</v>
      </c>
      <c r="F3" s="6" t="s">
        <v>38</v>
      </c>
      <c r="G3" s="6" t="s">
        <v>39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33</v>
      </c>
      <c r="N3" s="6" t="s">
        <v>40</v>
      </c>
    </row>
    <row r="4" customFormat="false" ht="15" hidden="false" customHeight="false" outlineLevel="0" collapsed="false">
      <c r="A4" s="2" t="s">
        <v>118</v>
      </c>
      <c r="B4" s="2" t="n">
        <v>98332</v>
      </c>
      <c r="C4" s="5" t="n">
        <v>0.875</v>
      </c>
      <c r="D4" s="5" t="n">
        <v>0.8756</v>
      </c>
      <c r="E4" s="5" t="n">
        <v>0.8759</v>
      </c>
      <c r="F4" s="5" t="n">
        <v>0.8754</v>
      </c>
      <c r="G4" s="5" t="n">
        <v>0.9784</v>
      </c>
      <c r="H4" s="2" t="n">
        <v>120</v>
      </c>
      <c r="I4" s="2" t="n">
        <v>60</v>
      </c>
      <c r="J4" s="2" t="n">
        <v>32</v>
      </c>
      <c r="K4" s="2" t="n">
        <v>3</v>
      </c>
      <c r="L4" s="7" t="b">
        <f aca="false">FALSE()</f>
        <v>0</v>
      </c>
      <c r="M4" s="2" t="n">
        <v>42</v>
      </c>
      <c r="N4" s="2" t="s">
        <v>119</v>
      </c>
    </row>
    <row r="5" customFormat="false" ht="15" hidden="false" customHeight="false" outlineLevel="0" collapsed="false">
      <c r="A5" s="2" t="s">
        <v>120</v>
      </c>
      <c r="B5" s="2" t="n">
        <v>298868</v>
      </c>
      <c r="C5" s="5" t="n">
        <v>0.8715</v>
      </c>
      <c r="D5" s="5" t="n">
        <v>0.8722</v>
      </c>
      <c r="E5" s="5" t="n">
        <v>0.8726</v>
      </c>
      <c r="F5" s="5" t="n">
        <v>0.872</v>
      </c>
      <c r="G5" s="5" t="n">
        <v>0.9782</v>
      </c>
      <c r="H5" s="2" t="n">
        <v>112</v>
      </c>
      <c r="I5" s="2" t="n">
        <v>224</v>
      </c>
      <c r="J5" s="2" t="n">
        <v>80</v>
      </c>
      <c r="K5" s="2" t="n">
        <v>2</v>
      </c>
      <c r="L5" s="7" t="b">
        <f aca="false">FALSE()</f>
        <v>0</v>
      </c>
      <c r="M5" s="2" t="n">
        <v>42</v>
      </c>
      <c r="N5" s="2" t="s">
        <v>119</v>
      </c>
    </row>
    <row r="6" customFormat="false" ht="15" hidden="false" customHeight="false" outlineLevel="0" collapsed="false">
      <c r="A6" s="2" t="s">
        <v>121</v>
      </c>
      <c r="B6" s="2" t="n">
        <v>699748</v>
      </c>
      <c r="C6" s="5" t="n">
        <v>0.875</v>
      </c>
      <c r="D6" s="5" t="n">
        <v>0.8758</v>
      </c>
      <c r="E6" s="5" t="n">
        <v>0.8763</v>
      </c>
      <c r="F6" s="5" t="n">
        <v>0.8755</v>
      </c>
      <c r="G6" s="5" t="n">
        <v>0.9769</v>
      </c>
      <c r="H6" s="2" t="n">
        <v>192</v>
      </c>
      <c r="I6" s="2" t="n">
        <v>384</v>
      </c>
      <c r="J6" s="2" t="n">
        <v>80</v>
      </c>
      <c r="K6" s="2" t="n">
        <v>3</v>
      </c>
      <c r="L6" s="7" t="b">
        <f aca="false">FALSE()</f>
        <v>0</v>
      </c>
      <c r="M6" s="2" t="n">
        <v>42</v>
      </c>
      <c r="N6" s="2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17"/>
    <col collapsed="false" customWidth="true" hidden="false" outlineLevel="0" max="7" min="7" style="0" width="18"/>
    <col collapsed="false" customWidth="true" hidden="false" outlineLevel="0" max="8" min="8" style="0" width="17"/>
    <col collapsed="false" customWidth="true" hidden="false" outlineLevel="0" max="9" min="9" style="0" width="36"/>
    <col collapsed="false" customWidth="true" hidden="false" outlineLevel="0" max="10" min="10" style="0" width="43"/>
    <col collapsed="false" customWidth="true" hidden="false" outlineLevel="0" max="11" min="11" style="0" width="41"/>
  </cols>
  <sheetData>
    <row r="1" customFormat="false" ht="15" hidden="false" customHeight="false" outlineLevel="0" collapsed="false">
      <c r="A1" s="4" t="s">
        <v>122</v>
      </c>
    </row>
    <row r="3" customFormat="false" ht="26.85" hidden="false" customHeight="false" outlineLevel="0" collapsed="false">
      <c r="A3" s="6" t="s">
        <v>123</v>
      </c>
      <c r="B3" s="6" t="s">
        <v>124</v>
      </c>
      <c r="C3" s="6" t="s">
        <v>125</v>
      </c>
      <c r="D3" s="6" t="s">
        <v>34</v>
      </c>
      <c r="E3" s="6" t="s">
        <v>99</v>
      </c>
      <c r="F3" s="6" t="s">
        <v>126</v>
      </c>
      <c r="G3" s="6" t="s">
        <v>127</v>
      </c>
      <c r="H3" s="6" t="s">
        <v>100</v>
      </c>
      <c r="I3" s="6" t="s">
        <v>128</v>
      </c>
      <c r="J3" s="6" t="s">
        <v>102</v>
      </c>
      <c r="K3" s="6" t="s">
        <v>103</v>
      </c>
    </row>
    <row r="4" customFormat="false" ht="15" hidden="false" customHeight="false" outlineLevel="0" collapsed="false">
      <c r="A4" s="2" t="s">
        <v>129</v>
      </c>
      <c r="B4" s="2" t="n">
        <v>4</v>
      </c>
      <c r="C4" s="2" t="n">
        <v>0</v>
      </c>
      <c r="D4" s="2" t="n">
        <v>38468</v>
      </c>
      <c r="E4" s="5" t="n">
        <v>0.821</v>
      </c>
      <c r="F4" s="5" t="n">
        <v>0.8214</v>
      </c>
      <c r="G4" s="5" t="n">
        <v>0.962</v>
      </c>
      <c r="H4" s="5" t="n">
        <v>0.8925</v>
      </c>
      <c r="I4" s="2"/>
      <c r="J4" s="2" t="s">
        <v>105</v>
      </c>
      <c r="K4" s="2" t="s">
        <v>130</v>
      </c>
    </row>
    <row r="5" customFormat="false" ht="15" hidden="false" customHeight="false" outlineLevel="0" collapsed="false">
      <c r="A5" s="2" t="s">
        <v>129</v>
      </c>
      <c r="B5" s="2" t="n">
        <v>4</v>
      </c>
      <c r="C5" s="2" t="n">
        <v>1</v>
      </c>
      <c r="D5" s="2" t="n">
        <v>46788</v>
      </c>
      <c r="E5" s="5" t="n">
        <v>0.8275</v>
      </c>
      <c r="F5" s="5" t="n">
        <v>0.828</v>
      </c>
      <c r="G5" s="5" t="n">
        <v>0.9602</v>
      </c>
      <c r="H5" s="5" t="n">
        <v>0.8865</v>
      </c>
      <c r="I5" s="2"/>
      <c r="J5" s="2" t="s">
        <v>105</v>
      </c>
      <c r="K5" s="2" t="s">
        <v>130</v>
      </c>
    </row>
    <row r="6" customFormat="false" ht="15" hidden="false" customHeight="false" outlineLevel="0" collapsed="false">
      <c r="A6" s="2" t="s">
        <v>129</v>
      </c>
      <c r="B6" s="2" t="n">
        <v>4</v>
      </c>
      <c r="C6" s="2" t="n">
        <v>2</v>
      </c>
      <c r="D6" s="2" t="n">
        <v>55108</v>
      </c>
      <c r="E6" s="5" t="n">
        <v>0.8375</v>
      </c>
      <c r="F6" s="5" t="n">
        <v>0.8382</v>
      </c>
      <c r="G6" s="5" t="n">
        <v>0.9653</v>
      </c>
      <c r="H6" s="5" t="n">
        <v>0.9015</v>
      </c>
      <c r="I6" s="2"/>
      <c r="J6" s="2" t="s">
        <v>105</v>
      </c>
      <c r="K6" s="2" t="s">
        <v>130</v>
      </c>
    </row>
    <row r="7" customFormat="false" ht="15" hidden="false" customHeight="false" outlineLevel="0" collapsed="false">
      <c r="A7" s="2" t="s">
        <v>131</v>
      </c>
      <c r="B7" s="2" t="n">
        <v>3</v>
      </c>
      <c r="C7" s="2" t="n">
        <v>0</v>
      </c>
      <c r="D7" s="2" t="n">
        <v>29156</v>
      </c>
      <c r="E7" s="5" t="n">
        <v>0.7975</v>
      </c>
      <c r="F7" s="5" t="n">
        <v>0.797</v>
      </c>
      <c r="G7" s="5" t="n">
        <v>0.9531</v>
      </c>
      <c r="H7" s="5" t="n">
        <v>0.876</v>
      </c>
      <c r="I7" s="2"/>
      <c r="J7" s="2" t="s">
        <v>105</v>
      </c>
      <c r="K7" s="2" t="s">
        <v>130</v>
      </c>
    </row>
    <row r="8" customFormat="false" ht="15" hidden="false" customHeight="false" outlineLevel="0" collapsed="false">
      <c r="A8" s="2" t="s">
        <v>131</v>
      </c>
      <c r="B8" s="2" t="n">
        <v>3</v>
      </c>
      <c r="C8" s="2" t="n">
        <v>1</v>
      </c>
      <c r="D8" s="2" t="n">
        <v>37476</v>
      </c>
      <c r="E8" s="5" t="n">
        <v>0.811</v>
      </c>
      <c r="F8" s="5" t="n">
        <v>0.8122</v>
      </c>
      <c r="G8" s="5" t="n">
        <v>0.9561</v>
      </c>
      <c r="H8" s="5" t="n">
        <v>0.8595</v>
      </c>
      <c r="I8" s="2"/>
      <c r="J8" s="2" t="s">
        <v>105</v>
      </c>
      <c r="K8" s="2" t="s">
        <v>130</v>
      </c>
    </row>
    <row r="9" customFormat="false" ht="15" hidden="false" customHeight="false" outlineLevel="0" collapsed="false">
      <c r="A9" s="2" t="s">
        <v>131</v>
      </c>
      <c r="B9" s="2" t="n">
        <v>3</v>
      </c>
      <c r="C9" s="2" t="n">
        <v>2</v>
      </c>
      <c r="D9" s="2" t="n">
        <v>45796</v>
      </c>
      <c r="E9" s="5" t="n">
        <v>0.819</v>
      </c>
      <c r="F9" s="5" t="n">
        <v>0.8191</v>
      </c>
      <c r="G9" s="5" t="n">
        <v>0.9563</v>
      </c>
      <c r="H9" s="5" t="n">
        <v>0.8755</v>
      </c>
      <c r="I9" s="2"/>
      <c r="J9" s="2" t="s">
        <v>105</v>
      </c>
      <c r="K9" s="2" t="s">
        <v>130</v>
      </c>
    </row>
    <row r="10" customFormat="false" ht="15" hidden="false" customHeight="false" outlineLevel="0" collapsed="false">
      <c r="A10" s="2" t="s">
        <v>132</v>
      </c>
      <c r="B10" s="2" t="n">
        <v>2</v>
      </c>
      <c r="C10" s="2" t="n">
        <v>0</v>
      </c>
      <c r="D10" s="2" t="n">
        <v>19844</v>
      </c>
      <c r="E10" s="5" t="n">
        <v>0.651</v>
      </c>
      <c r="F10" s="5" t="n">
        <v>0.6525</v>
      </c>
      <c r="G10" s="5" t="n">
        <v>0.8783</v>
      </c>
      <c r="H10" s="5" t="n">
        <v>0.8375</v>
      </c>
      <c r="I10" s="2"/>
      <c r="J10" s="2" t="s">
        <v>105</v>
      </c>
      <c r="K10" s="2" t="s">
        <v>130</v>
      </c>
    </row>
    <row r="11" customFormat="false" ht="15" hidden="false" customHeight="false" outlineLevel="0" collapsed="false">
      <c r="A11" s="2" t="s">
        <v>132</v>
      </c>
      <c r="B11" s="2" t="n">
        <v>2</v>
      </c>
      <c r="C11" s="2" t="n">
        <v>1</v>
      </c>
      <c r="D11" s="2" t="n">
        <v>28164</v>
      </c>
      <c r="E11" s="5" t="n">
        <v>0.783</v>
      </c>
      <c r="F11" s="5" t="n">
        <v>0.7837</v>
      </c>
      <c r="G11" s="5" t="n">
        <v>0.9487</v>
      </c>
      <c r="H11" s="5" t="n">
        <v>0.8575</v>
      </c>
      <c r="I11" s="2"/>
      <c r="J11" s="2" t="s">
        <v>105</v>
      </c>
      <c r="K11" s="2" t="s">
        <v>130</v>
      </c>
    </row>
    <row r="12" customFormat="false" ht="15" hidden="false" customHeight="false" outlineLevel="0" collapsed="false">
      <c r="A12" s="2" t="s">
        <v>132</v>
      </c>
      <c r="B12" s="2" t="n">
        <v>2</v>
      </c>
      <c r="C12" s="2" t="n">
        <v>2</v>
      </c>
      <c r="D12" s="2" t="n">
        <v>36484</v>
      </c>
      <c r="E12" s="5" t="n">
        <v>0.803</v>
      </c>
      <c r="F12" s="5" t="n">
        <v>0.8042</v>
      </c>
      <c r="G12" s="5" t="n">
        <v>0.9552</v>
      </c>
      <c r="H12" s="5" t="n">
        <v>0.8485</v>
      </c>
      <c r="I12" s="2"/>
      <c r="J12" s="2" t="s">
        <v>105</v>
      </c>
      <c r="K12" s="2" t="s">
        <v>130</v>
      </c>
    </row>
    <row r="13" customFormat="false" ht="15" hidden="false" customHeight="false" outlineLevel="0" collapsed="false">
      <c r="A13" s="2" t="s">
        <v>133</v>
      </c>
      <c r="B13" s="2" t="n">
        <v>1</v>
      </c>
      <c r="C13" s="2" t="n">
        <v>0</v>
      </c>
      <c r="D13" s="2" t="n">
        <v>2180</v>
      </c>
      <c r="E13" s="5" t="n">
        <v>0.48</v>
      </c>
      <c r="F13" s="5" t="n">
        <v>0.4776</v>
      </c>
      <c r="G13" s="5" t="n">
        <v>0.7354</v>
      </c>
      <c r="H13" s="5" t="n">
        <v>0.597</v>
      </c>
      <c r="I13" s="2"/>
      <c r="J13" s="2" t="s">
        <v>105</v>
      </c>
      <c r="K13" s="2" t="s">
        <v>130</v>
      </c>
    </row>
    <row r="14" customFormat="false" ht="15" hidden="false" customHeight="false" outlineLevel="0" collapsed="false">
      <c r="A14" s="2" t="s">
        <v>133</v>
      </c>
      <c r="B14" s="2" t="n">
        <v>1</v>
      </c>
      <c r="C14" s="2" t="n">
        <v>1</v>
      </c>
      <c r="D14" s="2" t="n">
        <v>10500</v>
      </c>
      <c r="E14" s="5" t="n">
        <v>0.699</v>
      </c>
      <c r="F14" s="5" t="n">
        <v>0.6999</v>
      </c>
      <c r="G14" s="5" t="n">
        <v>0.9037</v>
      </c>
      <c r="H14" s="5" t="n">
        <v>0.806</v>
      </c>
      <c r="I14" s="2"/>
      <c r="J14" s="2" t="s">
        <v>105</v>
      </c>
      <c r="K14" s="2" t="s">
        <v>130</v>
      </c>
    </row>
    <row r="15" customFormat="false" ht="15" hidden="false" customHeight="false" outlineLevel="0" collapsed="false">
      <c r="A15" s="2" t="s">
        <v>133</v>
      </c>
      <c r="B15" s="2" t="n">
        <v>1</v>
      </c>
      <c r="C15" s="2" t="n">
        <v>2</v>
      </c>
      <c r="D15" s="2" t="n">
        <v>18820</v>
      </c>
      <c r="E15" s="5" t="n">
        <v>0.7405</v>
      </c>
      <c r="F15" s="5" t="n">
        <v>0.7412</v>
      </c>
      <c r="G15" s="5" t="n">
        <v>0.9247</v>
      </c>
      <c r="H15" s="2"/>
      <c r="I15" s="2" t="s">
        <v>134</v>
      </c>
      <c r="J15" s="2" t="s">
        <v>105</v>
      </c>
      <c r="K15" s="2" t="s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8" min="6" style="0" width="10"/>
    <col collapsed="false" customWidth="true" hidden="false" outlineLevel="0" max="9" min="9" style="0" width="43"/>
    <col collapsed="false" customWidth="true" hidden="false" outlineLevel="0" max="10" min="10" style="0" width="48"/>
  </cols>
  <sheetData>
    <row r="1" customFormat="false" ht="15" hidden="false" customHeight="false" outlineLevel="0" collapsed="false">
      <c r="A1" s="4" t="s">
        <v>136</v>
      </c>
    </row>
    <row r="3" customFormat="false" ht="26.85" hidden="false" customHeight="false" outlineLevel="0" collapsed="false">
      <c r="A3" s="6" t="s">
        <v>29</v>
      </c>
      <c r="B3" s="6" t="s">
        <v>34</v>
      </c>
      <c r="C3" s="6" t="s">
        <v>137</v>
      </c>
      <c r="D3" s="6" t="s">
        <v>138</v>
      </c>
      <c r="E3" s="6" t="s">
        <v>139</v>
      </c>
      <c r="F3" s="6" t="s">
        <v>140</v>
      </c>
      <c r="G3" s="6" t="s">
        <v>141</v>
      </c>
      <c r="H3" s="6" t="s">
        <v>142</v>
      </c>
      <c r="I3" s="6" t="s">
        <v>40</v>
      </c>
      <c r="J3" s="6" t="s">
        <v>143</v>
      </c>
    </row>
    <row r="4" customFormat="false" ht="15" hidden="false" customHeight="false" outlineLevel="0" collapsed="false">
      <c r="A4" s="2" t="s">
        <v>144</v>
      </c>
      <c r="B4" s="2" t="n">
        <v>17156</v>
      </c>
      <c r="C4" s="2" t="n">
        <v>70.5</v>
      </c>
      <c r="D4" s="2" t="n">
        <v>70.5</v>
      </c>
      <c r="E4" s="2" t="n">
        <v>69.5</v>
      </c>
      <c r="F4" s="2" t="n">
        <v>64.9</v>
      </c>
      <c r="G4" s="2" t="n">
        <v>55.5</v>
      </c>
      <c r="H4" s="2" t="n">
        <v>45.6</v>
      </c>
      <c r="I4" s="2" t="s">
        <v>105</v>
      </c>
      <c r="J4" s="2" t="s">
        <v>145</v>
      </c>
    </row>
    <row r="5" customFormat="false" ht="15" hidden="false" customHeight="false" outlineLevel="0" collapsed="false">
      <c r="A5" s="2" t="s">
        <v>146</v>
      </c>
      <c r="B5" s="2" t="n">
        <v>38468</v>
      </c>
      <c r="C5" s="2" t="n">
        <v>82.1</v>
      </c>
      <c r="D5" s="2" t="n">
        <v>82.1</v>
      </c>
      <c r="E5" s="2" t="n">
        <v>65.5</v>
      </c>
      <c r="F5" s="2" t="n">
        <v>46.6</v>
      </c>
      <c r="G5" s="2" t="n">
        <v>31</v>
      </c>
      <c r="H5" s="2" t="n">
        <v>26.1</v>
      </c>
      <c r="I5" s="2" t="s">
        <v>105</v>
      </c>
      <c r="J5" s="2" t="s">
        <v>145</v>
      </c>
    </row>
    <row r="6" customFormat="false" ht="15" hidden="false" customHeight="false" outlineLevel="0" collapsed="false">
      <c r="A6" s="2" t="s">
        <v>147</v>
      </c>
      <c r="B6" s="2" t="n">
        <v>46788</v>
      </c>
      <c r="C6" s="2" t="n">
        <v>82.75</v>
      </c>
      <c r="D6" s="2" t="n">
        <v>82.8</v>
      </c>
      <c r="E6" s="2" t="n">
        <v>72.4</v>
      </c>
      <c r="F6" s="2" t="n">
        <v>50.5</v>
      </c>
      <c r="G6" s="2" t="n">
        <v>29.5</v>
      </c>
      <c r="H6" s="2" t="n">
        <v>27.9</v>
      </c>
      <c r="I6" s="2" t="s">
        <v>105</v>
      </c>
      <c r="J6" s="2" t="s">
        <v>145</v>
      </c>
    </row>
    <row r="7" customFormat="false" ht="15" hidden="false" customHeight="false" outlineLevel="0" collapsed="false">
      <c r="A7" s="2" t="s">
        <v>148</v>
      </c>
      <c r="B7" s="2" t="n">
        <v>55108</v>
      </c>
      <c r="C7" s="2" t="n">
        <v>83.75</v>
      </c>
      <c r="D7" s="2" t="n">
        <v>83.8</v>
      </c>
      <c r="E7" s="2" t="n">
        <v>72.9</v>
      </c>
      <c r="F7" s="2" t="n">
        <v>51.4</v>
      </c>
      <c r="G7" s="2" t="n">
        <v>29.2</v>
      </c>
      <c r="H7" s="2" t="n">
        <v>27.1</v>
      </c>
      <c r="I7" s="2" t="s">
        <v>105</v>
      </c>
      <c r="J7" s="2" t="s">
        <v>145</v>
      </c>
    </row>
    <row r="8" customFormat="false" ht="15" hidden="false" customHeight="false" outlineLevel="0" collapsed="false">
      <c r="A8" s="2" t="s">
        <v>149</v>
      </c>
      <c r="B8" s="2" t="n">
        <v>29156</v>
      </c>
      <c r="C8" s="2" t="n">
        <v>79.75</v>
      </c>
      <c r="D8" s="2" t="n">
        <v>79.8</v>
      </c>
      <c r="E8" s="2" t="n">
        <v>55.2</v>
      </c>
      <c r="F8" s="2" t="n">
        <v>44.4</v>
      </c>
      <c r="G8" s="2" t="n">
        <v>25.4</v>
      </c>
      <c r="H8" s="2" t="n">
        <v>25.4</v>
      </c>
      <c r="I8" s="2" t="s">
        <v>105</v>
      </c>
      <c r="J8" s="2" t="s">
        <v>145</v>
      </c>
    </row>
    <row r="9" customFormat="false" ht="15" hidden="false" customHeight="false" outlineLevel="0" collapsed="false">
      <c r="A9" s="2" t="s">
        <v>150</v>
      </c>
      <c r="B9" s="2" t="n">
        <v>37476</v>
      </c>
      <c r="C9" s="2" t="n">
        <v>81.1</v>
      </c>
      <c r="D9" s="2" t="n">
        <v>81.1</v>
      </c>
      <c r="E9" s="2" t="n">
        <v>65.3</v>
      </c>
      <c r="F9" s="2" t="n">
        <v>42</v>
      </c>
      <c r="G9" s="2" t="n">
        <v>28.1</v>
      </c>
      <c r="H9" s="2" t="n">
        <v>25</v>
      </c>
      <c r="I9" s="2" t="s">
        <v>105</v>
      </c>
      <c r="J9" s="2" t="s">
        <v>145</v>
      </c>
    </row>
    <row r="10" customFormat="false" ht="15" hidden="false" customHeight="false" outlineLevel="0" collapsed="false">
      <c r="A10" s="2" t="s">
        <v>151</v>
      </c>
      <c r="B10" s="2" t="n">
        <v>45796</v>
      </c>
      <c r="C10" s="2" t="n">
        <v>81.9</v>
      </c>
      <c r="D10" s="2" t="n">
        <v>81.9</v>
      </c>
      <c r="E10" s="2" t="n">
        <v>68.5</v>
      </c>
      <c r="F10" s="2" t="n">
        <v>51.1</v>
      </c>
      <c r="G10" s="2" t="n">
        <v>31.9</v>
      </c>
      <c r="H10" s="2" t="n">
        <v>28.1</v>
      </c>
      <c r="I10" s="2" t="s">
        <v>105</v>
      </c>
      <c r="J10" s="2" t="s">
        <v>145</v>
      </c>
    </row>
    <row r="11" customFormat="false" ht="15" hidden="false" customHeight="false" outlineLevel="0" collapsed="false">
      <c r="A11" s="2" t="s">
        <v>152</v>
      </c>
      <c r="B11" s="2" t="n">
        <v>19844</v>
      </c>
      <c r="C11" s="2" t="n">
        <v>65.1</v>
      </c>
      <c r="D11" s="2" t="n">
        <v>65.1</v>
      </c>
      <c r="E11" s="2" t="n">
        <v>34.6</v>
      </c>
      <c r="F11" s="2" t="n">
        <v>29.8</v>
      </c>
      <c r="G11" s="2" t="n">
        <v>25.4</v>
      </c>
      <c r="H11" s="2" t="n">
        <v>25.4</v>
      </c>
      <c r="I11" s="2" t="s">
        <v>105</v>
      </c>
      <c r="J11" s="2" t="s">
        <v>145</v>
      </c>
    </row>
    <row r="12" customFormat="false" ht="15" hidden="false" customHeight="false" outlineLevel="0" collapsed="false">
      <c r="A12" s="2" t="s">
        <v>153</v>
      </c>
      <c r="B12" s="2" t="n">
        <v>28164</v>
      </c>
      <c r="C12" s="2" t="n">
        <v>78.3</v>
      </c>
      <c r="D12" s="2" t="n">
        <v>78.3</v>
      </c>
      <c r="E12" s="2" t="n">
        <v>63.9</v>
      </c>
      <c r="F12" s="2" t="n">
        <v>46.5</v>
      </c>
      <c r="G12" s="2" t="n">
        <v>28.1</v>
      </c>
      <c r="H12" s="2" t="n">
        <v>26.8</v>
      </c>
      <c r="I12" s="2" t="s">
        <v>105</v>
      </c>
      <c r="J12" s="2" t="s">
        <v>145</v>
      </c>
    </row>
    <row r="13" customFormat="false" ht="15" hidden="false" customHeight="false" outlineLevel="0" collapsed="false">
      <c r="A13" s="2" t="s">
        <v>154</v>
      </c>
      <c r="B13" s="2" t="n">
        <v>36484</v>
      </c>
      <c r="C13" s="2" t="n">
        <v>80.3</v>
      </c>
      <c r="D13" s="2" t="n">
        <v>80.3</v>
      </c>
      <c r="E13" s="2" t="n">
        <v>67.8</v>
      </c>
      <c r="F13" s="2" t="n">
        <v>43.6</v>
      </c>
      <c r="G13" s="2" t="n">
        <v>28</v>
      </c>
      <c r="H13" s="2" t="n">
        <v>25.9</v>
      </c>
      <c r="I13" s="2" t="s">
        <v>105</v>
      </c>
      <c r="J13" s="2" t="s">
        <v>145</v>
      </c>
    </row>
    <row r="14" customFormat="false" ht="15" hidden="false" customHeight="false" outlineLevel="0" collapsed="false">
      <c r="A14" s="2" t="s">
        <v>155</v>
      </c>
      <c r="B14" s="2" t="n">
        <v>2180</v>
      </c>
      <c r="C14" s="2" t="n">
        <v>48</v>
      </c>
      <c r="D14" s="2" t="n">
        <v>48</v>
      </c>
      <c r="E14" s="2" t="n">
        <v>40.5</v>
      </c>
      <c r="F14" s="2" t="n">
        <v>33.1</v>
      </c>
      <c r="G14" s="2" t="n">
        <v>25.5</v>
      </c>
      <c r="H14" s="2" t="n">
        <v>25.3</v>
      </c>
      <c r="I14" s="2" t="s">
        <v>105</v>
      </c>
      <c r="J14" s="2" t="s">
        <v>145</v>
      </c>
    </row>
    <row r="15" customFormat="false" ht="15" hidden="false" customHeight="false" outlineLevel="0" collapsed="false">
      <c r="A15" s="2" t="s">
        <v>156</v>
      </c>
      <c r="B15" s="2" t="n">
        <v>10500</v>
      </c>
      <c r="C15" s="2" t="n">
        <v>69.9</v>
      </c>
      <c r="D15" s="2" t="n">
        <v>69.9</v>
      </c>
      <c r="E15" s="2" t="n">
        <v>66.2</v>
      </c>
      <c r="F15" s="2" t="n">
        <v>58.7</v>
      </c>
      <c r="G15" s="2" t="n">
        <v>41.9</v>
      </c>
      <c r="H15" s="2" t="n">
        <v>32.5</v>
      </c>
      <c r="I15" s="2" t="s">
        <v>105</v>
      </c>
      <c r="J15" s="2" t="s">
        <v>145</v>
      </c>
    </row>
    <row r="16" customFormat="false" ht="15" hidden="false" customHeight="false" outlineLevel="0" collapsed="false">
      <c r="A16" s="2" t="s">
        <v>157</v>
      </c>
      <c r="B16" s="2" t="n">
        <v>18820</v>
      </c>
      <c r="C16" s="2" t="n">
        <v>74.05</v>
      </c>
      <c r="D16" s="2" t="n">
        <v>74.1</v>
      </c>
      <c r="E16" s="2" t="n">
        <v>68.5</v>
      </c>
      <c r="F16" s="2" t="n">
        <v>63.9</v>
      </c>
      <c r="G16" s="2" t="n">
        <v>46.2</v>
      </c>
      <c r="H16" s="2" t="n">
        <v>33.7</v>
      </c>
      <c r="I16" s="2" t="s">
        <v>105</v>
      </c>
      <c r="J16" s="2" t="s"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1"/>
    <col collapsed="false" customWidth="true" hidden="false" outlineLevel="0" max="4" min="2" style="0" width="10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8" min="7" style="0" width="48"/>
  </cols>
  <sheetData>
    <row r="1" customFormat="false" ht="15" hidden="false" customHeight="false" outlineLevel="0" collapsed="false">
      <c r="A1" s="4" t="s">
        <v>158</v>
      </c>
    </row>
    <row r="3" customFormat="false" ht="15" hidden="false" customHeight="false" outlineLevel="0" collapsed="false">
      <c r="A3" s="6" t="s">
        <v>159</v>
      </c>
      <c r="B3" s="6" t="s">
        <v>160</v>
      </c>
      <c r="C3" s="6" t="s">
        <v>35</v>
      </c>
      <c r="D3" s="6" t="s">
        <v>36</v>
      </c>
      <c r="E3" s="6" t="s">
        <v>37</v>
      </c>
      <c r="F3" s="6" t="s">
        <v>38</v>
      </c>
      <c r="G3" s="6" t="s">
        <v>29</v>
      </c>
      <c r="H3" s="6" t="s">
        <v>40</v>
      </c>
    </row>
    <row r="4" customFormat="false" ht="15" hidden="false" customHeight="false" outlineLevel="0" collapsed="false">
      <c r="A4" s="2" t="s">
        <v>161</v>
      </c>
      <c r="B4" s="2" t="s">
        <v>162</v>
      </c>
      <c r="C4" s="5" t="n">
        <v>0.9006</v>
      </c>
      <c r="D4" s="5" t="n">
        <v>0.9003</v>
      </c>
      <c r="E4" s="5" t="n">
        <v>0.9003</v>
      </c>
      <c r="F4" s="5" t="n">
        <v>0.9004</v>
      </c>
      <c r="G4" s="2" t="s">
        <v>163</v>
      </c>
      <c r="H4" s="2" t="s">
        <v>92</v>
      </c>
    </row>
    <row r="5" customFormat="false" ht="15" hidden="false" customHeight="false" outlineLevel="0" collapsed="false">
      <c r="A5" s="2" t="s">
        <v>164</v>
      </c>
      <c r="B5" s="2" t="s">
        <v>162</v>
      </c>
      <c r="C5" s="5" t="n">
        <v>0.8906</v>
      </c>
      <c r="D5" s="5" t="n">
        <v>0.8907</v>
      </c>
      <c r="E5" s="5" t="n">
        <v>0.891</v>
      </c>
      <c r="F5" s="5" t="n">
        <v>0.8905</v>
      </c>
      <c r="G5" s="2" t="s">
        <v>163</v>
      </c>
      <c r="H5" s="2" t="s">
        <v>92</v>
      </c>
    </row>
    <row r="6" customFormat="false" ht="15" hidden="false" customHeight="false" outlineLevel="0" collapsed="false">
      <c r="A6" s="2" t="s">
        <v>161</v>
      </c>
      <c r="B6" s="2" t="s">
        <v>165</v>
      </c>
      <c r="C6" s="5" t="n">
        <v>0.9015</v>
      </c>
      <c r="D6" s="5" t="n">
        <v>0.9019</v>
      </c>
      <c r="E6" s="5" t="n">
        <v>0.9019</v>
      </c>
      <c r="F6" s="5" t="n">
        <v>0.902</v>
      </c>
      <c r="G6" s="2" t="s">
        <v>163</v>
      </c>
      <c r="H6" s="2" t="s">
        <v>92</v>
      </c>
    </row>
    <row r="7" customFormat="false" ht="15" hidden="false" customHeight="false" outlineLevel="0" collapsed="false">
      <c r="A7" s="2" t="s">
        <v>164</v>
      </c>
      <c r="B7" s="2" t="s">
        <v>165</v>
      </c>
      <c r="C7" s="5" t="n">
        <v>0.8785</v>
      </c>
      <c r="D7" s="5" t="n">
        <v>0.8794</v>
      </c>
      <c r="E7" s="5" t="n">
        <v>0.8803</v>
      </c>
      <c r="F7" s="5" t="n">
        <v>0.8789</v>
      </c>
      <c r="G7" s="2" t="s">
        <v>163</v>
      </c>
      <c r="H7" s="2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2026-08-20T09:24:44Z</dcterms:created>
  <dc:creator>openpyxl</dc:creator>
  <dc:description/>
  <dc:language>en-US</dc:language>
  <cp:lastModifiedBy/>
  <dcterms:modified xsi:type="dcterms:W3CDTF">2026-08-20T09:24:44Z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